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434" documentId="6_{998E02CD-0F20-4CC1-A9D3-1323300C3EE9}" xr6:coauthVersionLast="47" xr6:coauthVersionMax="47" xr10:uidLastSave="{B3675C37-BE6A-4411-B4AF-DB61DAC83CF5}"/>
  <bookViews>
    <workbookView xWindow="240" yWindow="105" windowWidth="14805" windowHeight="8010" firstSheet="1" xr2:uid="{00000000-000D-0000-FFFF-FFFF00000000}"/>
  </bookViews>
  <sheets>
    <sheet name="Databook" sheetId="1" r:id="rId1"/>
    <sheet name="FDD_Calculations" sheetId="3" r:id="rId2"/>
    <sheet name="Dashboard" sheetId="4" r:id="rId3"/>
  </sheets>
  <definedNames>
    <definedName name="FDD_DATA">Databook!$A$2:$K$13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4" l="1"/>
  <c r="C33" i="4" s="1"/>
  <c r="C24" i="4"/>
  <c r="C32" i="4" s="1"/>
  <c r="C23" i="4"/>
  <c r="C31" i="4" s="1"/>
  <c r="C34" i="4" s="1"/>
  <c r="H15" i="3"/>
  <c r="J4" i="3"/>
  <c r="J5" i="3"/>
  <c r="J6" i="3"/>
  <c r="J7" i="3"/>
  <c r="J8" i="3"/>
  <c r="J9" i="3"/>
  <c r="J10" i="3"/>
  <c r="J11" i="3"/>
  <c r="J12" i="3"/>
  <c r="J13" i="3"/>
  <c r="J14" i="3"/>
  <c r="J3" i="3"/>
  <c r="H26" i="3"/>
  <c r="H27" i="3"/>
  <c r="H28" i="3"/>
  <c r="H29" i="3"/>
  <c r="H30" i="3"/>
  <c r="H31" i="3"/>
  <c r="H32" i="3"/>
  <c r="H33" i="3"/>
  <c r="H34" i="3"/>
  <c r="H35" i="3"/>
  <c r="H36" i="3"/>
  <c r="H25" i="3"/>
  <c r="G26" i="3"/>
  <c r="G27" i="3"/>
  <c r="G28" i="3"/>
  <c r="G29" i="3"/>
  <c r="G30" i="3"/>
  <c r="G31" i="3"/>
  <c r="G32" i="3"/>
  <c r="G33" i="3"/>
  <c r="G34" i="3"/>
  <c r="G35" i="3"/>
  <c r="G36" i="3"/>
  <c r="G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36" i="3"/>
  <c r="C36" i="3"/>
  <c r="D36" i="3"/>
  <c r="E36" i="3"/>
  <c r="F36" i="3"/>
  <c r="F25" i="3"/>
  <c r="E25" i="3"/>
  <c r="D25" i="3"/>
  <c r="C25" i="3"/>
  <c r="B25" i="3"/>
  <c r="C21" i="3"/>
  <c r="C19" i="3"/>
  <c r="C18" i="3"/>
  <c r="H4" i="3"/>
  <c r="H5" i="3"/>
  <c r="H6" i="3"/>
  <c r="H7" i="3"/>
  <c r="H8" i="3"/>
  <c r="H9" i="3"/>
  <c r="H10" i="3"/>
  <c r="H11" i="3"/>
  <c r="H12" i="3"/>
  <c r="H13" i="3"/>
  <c r="H14" i="3"/>
  <c r="H3" i="3"/>
  <c r="G4" i="3"/>
  <c r="G5" i="3"/>
  <c r="G6" i="3"/>
  <c r="G7" i="3"/>
  <c r="G8" i="3"/>
  <c r="G9" i="3"/>
  <c r="G10" i="3"/>
  <c r="G11" i="3"/>
  <c r="G12" i="3"/>
  <c r="G13" i="3"/>
  <c r="G14" i="3"/>
  <c r="G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C3" i="3"/>
  <c r="B3" i="3"/>
  <c r="S13" i="1"/>
  <c r="O32" i="1" s="1"/>
  <c r="S12" i="1"/>
  <c r="S11" i="1"/>
  <c r="S10" i="1"/>
  <c r="S9" i="1"/>
  <c r="S8" i="1"/>
  <c r="S7" i="1"/>
  <c r="S6" i="1"/>
  <c r="S5" i="1"/>
  <c r="S4" i="1"/>
  <c r="S3" i="1"/>
  <c r="S2" i="1"/>
  <c r="U16" i="1" s="1"/>
  <c r="O23" i="1"/>
  <c r="O22" i="1"/>
  <c r="O24" i="1" s="1"/>
  <c r="O21" i="1"/>
  <c r="O25" i="1" s="1"/>
  <c r="O30" i="1" s="1"/>
  <c r="M13" i="1"/>
  <c r="M12" i="1"/>
  <c r="M11" i="1"/>
  <c r="M10" i="1"/>
  <c r="M9" i="1"/>
  <c r="M8" i="1"/>
  <c r="M7" i="1"/>
  <c r="M6" i="1"/>
  <c r="M5" i="1"/>
  <c r="M4" i="1"/>
  <c r="M3" i="1"/>
  <c r="M2" i="1"/>
  <c r="L13" i="1"/>
  <c r="L12" i="1"/>
  <c r="L11" i="1"/>
  <c r="L10" i="1"/>
  <c r="L9" i="1"/>
  <c r="L8" i="1"/>
  <c r="L7" i="1"/>
  <c r="L6" i="1"/>
  <c r="L5" i="1"/>
  <c r="L4" i="1"/>
  <c r="L3" i="1"/>
  <c r="L2" i="1"/>
  <c r="O31" i="1" l="1"/>
  <c r="U13" i="1"/>
  <c r="U12" i="1"/>
  <c r="U11" i="1"/>
  <c r="U10" i="1"/>
  <c r="U9" i="1"/>
  <c r="U8" i="1"/>
  <c r="U7" i="1"/>
  <c r="U6" i="1"/>
  <c r="U5" i="1"/>
  <c r="U4" i="1"/>
  <c r="U3" i="1"/>
  <c r="U2" i="1"/>
  <c r="O33" i="1"/>
  <c r="T2" i="1"/>
  <c r="T3" i="1"/>
  <c r="T4" i="1"/>
  <c r="T5" i="1"/>
  <c r="T6" i="1"/>
  <c r="T7" i="1"/>
  <c r="T8" i="1"/>
  <c r="T9" i="1"/>
  <c r="T10" i="1"/>
  <c r="T11" i="1"/>
  <c r="T12" i="1"/>
  <c r="T13" i="1"/>
  <c r="P2" i="1"/>
  <c r="O2" i="1"/>
  <c r="N2" i="1"/>
  <c r="Q2" i="1" s="1"/>
  <c r="P3" i="1"/>
  <c r="O3" i="1"/>
  <c r="N3" i="1"/>
  <c r="Q3" i="1" s="1"/>
  <c r="P4" i="1"/>
  <c r="O4" i="1"/>
  <c r="N4" i="1"/>
  <c r="Q4" i="1" s="1"/>
  <c r="P5" i="1"/>
  <c r="O5" i="1"/>
  <c r="N5" i="1"/>
  <c r="Q5" i="1" s="1"/>
  <c r="P6" i="1"/>
  <c r="O6" i="1"/>
  <c r="N6" i="1"/>
  <c r="Q6" i="1" s="1"/>
  <c r="P7" i="1"/>
  <c r="O7" i="1"/>
  <c r="N7" i="1"/>
  <c r="Q7" i="1" s="1"/>
  <c r="P8" i="1"/>
  <c r="O8" i="1"/>
  <c r="N8" i="1"/>
  <c r="Q8" i="1" s="1"/>
  <c r="P9" i="1"/>
  <c r="O9" i="1"/>
  <c r="N9" i="1"/>
  <c r="Q9" i="1" s="1"/>
  <c r="P10" i="1"/>
  <c r="O10" i="1"/>
  <c r="N10" i="1"/>
  <c r="Q10" i="1" s="1"/>
  <c r="P11" i="1"/>
  <c r="O11" i="1"/>
  <c r="N11" i="1"/>
  <c r="Q11" i="1" s="1"/>
  <c r="P12" i="1"/>
  <c r="O12" i="1"/>
  <c r="N12" i="1"/>
  <c r="Q12" i="1" s="1"/>
  <c r="P13" i="1"/>
  <c r="O13" i="1"/>
  <c r="N13" i="1"/>
  <c r="Q13" i="1" s="1"/>
  <c r="O16" i="1"/>
  <c r="R2" i="1"/>
  <c r="R3" i="1"/>
  <c r="R4" i="1"/>
  <c r="R5" i="1"/>
  <c r="R6" i="1"/>
  <c r="R7" i="1"/>
  <c r="R8" i="1"/>
  <c r="R9" i="1"/>
  <c r="R10" i="1"/>
  <c r="R11" i="1"/>
  <c r="R12" i="1"/>
  <c r="R13" i="1"/>
  <c r="O17" i="1" l="1"/>
  <c r="O18" i="1" s="1"/>
  <c r="O29" i="1" s="1"/>
</calcChain>
</file>

<file path=xl/sharedStrings.xml><?xml version="1.0" encoding="utf-8"?>
<sst xmlns="http://schemas.openxmlformats.org/spreadsheetml/2006/main" count="89" uniqueCount="61">
  <si>
    <t>Month</t>
  </si>
  <si>
    <t>Revenue</t>
  </si>
  <si>
    <t>COGS</t>
  </si>
  <si>
    <t>Gross Profit</t>
  </si>
  <si>
    <t>Operating Expenses</t>
  </si>
  <si>
    <t>EBITDA (Reported)</t>
  </si>
  <si>
    <t>AR</t>
  </si>
  <si>
    <t>AP</t>
  </si>
  <si>
    <t>Inventory</t>
  </si>
  <si>
    <t>Debt</t>
  </si>
  <si>
    <t>Cash</t>
  </si>
  <si>
    <t>Month2</t>
  </si>
  <si>
    <t>Reported EBITDA</t>
  </si>
  <si>
    <t>Adj 1 (June one-time)</t>
  </si>
  <si>
    <t>Adj 2 (July normalization)</t>
  </si>
  <si>
    <t>Adj 3 (Year-end normalization)</t>
  </si>
  <si>
    <t>Total Adj</t>
  </si>
  <si>
    <t>Adjusted EBITDA</t>
  </si>
  <si>
    <t>NWC</t>
  </si>
  <si>
    <t>NWC vs Peg</t>
  </si>
  <si>
    <t>Peg 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</si>
  <si>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</si>
  <si>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</si>
  <si>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</si>
  <si>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</si>
  <si>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</si>
  <si>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</si>
  <si>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</si>
  <si>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</si>
  <si>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</si>
  <si>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</si>
  <si>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</si>
  <si>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</si>
  <si>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EBITDA Bridge</t>
  </si>
  <si>
    <t>NWC Peg</t>
  </si>
  <si>
    <t>Total Adjustments</t>
  </si>
  <si>
    <t>Net Debt</t>
  </si>
  <si>
    <t>Less: Restricted Cash</t>
  </si>
  <si>
    <t>Adjusted Cash</t>
  </si>
  <si>
    <t>Deal Summary</t>
  </si>
  <si>
    <t>Latest NWC (Dec)</t>
  </si>
  <si>
    <t>NWC vs Peg (Dec)</t>
  </si>
  <si>
    <t>Key Insights</t>
  </si>
  <si>
    <t>Insight 1 (Earnings Quality)</t>
  </si>
  <si>
    <t>EBITDA required normalization due to one-off cost in June and inflated performance in July and year-end, resulting in a stable adjusted earnings profile.</t>
  </si>
  <si>
    <t>Insight 2 (Working Capital Risk)</t>
  </si>
  <si>
    <t>Working capital builds significantly in Q4, with December ~100 above peg, indicating potential cash retention risk for the buyer.</t>
  </si>
  <si>
    <t>Insight 3 (Deal Impact)</t>
  </si>
  <si>
    <t>Elevated NWC at closing would likely lead to downward purchase price adjustment unless normalized to peg level.</t>
  </si>
  <si>
    <t>LTM Adjusted EBITDA</t>
  </si>
  <si>
    <t>Value</t>
  </si>
  <si>
    <t>Less: Cash</t>
  </si>
  <si>
    <t>Add: Restricted Cash</t>
  </si>
  <si>
    <t>Adjusted Net Debt</t>
  </si>
  <si>
    <t>Financial Due Diligence (FDD) Mini Case – Deal Summary Model</t>
  </si>
  <si>
    <t>Closing NWC Variance</t>
  </si>
  <si>
    <t>Valuation Bridge (Assumes 6.0x Multiple)</t>
  </si>
  <si>
    <t>Enterprise Value</t>
  </si>
  <si>
    <t>Less: Adjusted Net Debt</t>
  </si>
  <si>
    <t>Add: NWC Adjustment</t>
  </si>
  <si>
    <t>Implied Equity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</si>
</sst>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0" fillId="0" borderId="1" xfId="0" applyBorder="1"/>
    <xf numFmtId="3" fontId="1" fillId="0" borderId="1" xfId="0" applyNumberFormat="1" applyFont="1" applyBorder="1"/>
    <xf numFmtId="0" fontId="1" fillId="3" borderId="1" xfId="0" applyFont="1" applyFill="1" applyBorder="1"/>
    <xf numFmtId="3" fontId="0" fillId="0" borderId="1" xfId="0" applyNumberFormat="1" applyBorder="1"/>
    <xf numFmtId="0" fontId="1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1" fontId="0" fillId="0" borderId="1" xfId="0" applyNumberFormat="1" applyBorder="1"/>
    <xf numFmtId="1" fontId="1" fillId="0" borderId="1" xfId="0" applyNumberFormat="1" applyFont="1" applyBorder="1"/>
    <xf numFmtId="0" fontId="1" fillId="0" borderId="0" xfId="0" applyFont="1"/>
    <xf numFmtId="0" fontId="1" fillId="0" borderId="2" xfId="0" applyFont="1" applyBorder="1"/>
    <xf numFmtId="41" fontId="0" fillId="0" borderId="0" xfId="0" applyNumberFormat="1"/>
    <xf numFmtId="1" fontId="0" fillId="0" borderId="0" xfId="0" applyNumberFormat="1"/>
    <xf numFmtId="0" fontId="1" fillId="0" borderId="1" xfId="0" applyFont="1" applyBorder="1"/>
    <xf numFmtId="41" fontId="0" fillId="0" borderId="1" xfId="0" applyNumberFormat="1" applyBorder="1"/>
    <xf numFmtId="0" fontId="1" fillId="0" borderId="1" xfId="0" applyFont="1" applyBorder="1" applyAlignment="1">
      <alignment wrapText="1"/>
    </xf>
    <xf numFmtId="0" fontId="5" fillId="3" borderId="0" xfId="0" applyFont="1" applyFill="1"/>
    <xf numFmtId="41" fontId="0" fillId="0" borderId="0" xfId="0" applyNumberFormat="1" applyBorder="1"/>
    <xf numFmtId="41" fontId="0" fillId="0" borderId="2" xfId="0" applyNumberFormat="1" applyBorder="1"/>
    <xf numFmtId="41" fontId="1" fillId="0" borderId="3" xfId="0" applyNumberFormat="1" applyFont="1" applyBorder="1"/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2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font>
        <color rgb="FF000000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NWC vs Peg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Databook!$S$1</c:f>
              <c:strCache>
                <c:ptCount val="1"/>
                <c:pt idx="0">
                  <c:v>NWC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Databook!$A$2:$A$13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Databook!$S$2:$S$13</c:f>
              <c:numCache>
                <c:formatCode>#,##0</c:formatCode>
                <c:ptCount val="12"/>
                <c:pt idx="0">
                  <c:v>270</c:v>
                </c:pt>
                <c:pt idx="1">
                  <c:v>265</c:v>
                </c:pt>
                <c:pt idx="2">
                  <c:v>280</c:v>
                </c:pt>
                <c:pt idx="3">
                  <c:v>275</c:v>
                </c:pt>
                <c:pt idx="4">
                  <c:v>295</c:v>
                </c:pt>
                <c:pt idx="5">
                  <c:v>350</c:v>
                </c:pt>
                <c:pt idx="6">
                  <c:v>330</c:v>
                </c:pt>
                <c:pt idx="7">
                  <c:v>325</c:v>
                </c:pt>
                <c:pt idx="8">
                  <c:v>340</c:v>
                </c:pt>
                <c:pt idx="9">
                  <c:v>360</c:v>
                </c:pt>
                <c:pt idx="10">
                  <c:v>380</c:v>
                </c:pt>
                <c:pt idx="11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3-4A49-BC71-F1DC19DF836C}"/>
            </c:ext>
          </c:extLst>
        </c:ser>
        <c:ser>
          <c:idx val="1"/>
          <c:order val="1"/>
          <c:tx>
            <c:strRef>
              <c:f>Databook!$U$1</c:f>
              <c:strCache>
                <c:ptCount val="1"/>
                <c:pt idx="0">
                  <c:v>Peg 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Databook!$A$2:$A$13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Databook!$U$2:$U$13</c:f>
              <c:numCache>
                <c:formatCode>#,##0</c:formatCode>
                <c:ptCount val="12"/>
                <c:pt idx="0">
                  <c:v>324.16666666666669</c:v>
                </c:pt>
                <c:pt idx="1">
                  <c:v>324.16666666666669</c:v>
                </c:pt>
                <c:pt idx="2">
                  <c:v>324.16666666666669</c:v>
                </c:pt>
                <c:pt idx="3">
                  <c:v>324.16666666666669</c:v>
                </c:pt>
                <c:pt idx="4">
                  <c:v>324.16666666666669</c:v>
                </c:pt>
                <c:pt idx="5">
                  <c:v>324.16666666666669</c:v>
                </c:pt>
                <c:pt idx="6">
                  <c:v>324.16666666666669</c:v>
                </c:pt>
                <c:pt idx="7">
                  <c:v>324.16666666666669</c:v>
                </c:pt>
                <c:pt idx="8">
                  <c:v>324.16666666666669</c:v>
                </c:pt>
                <c:pt idx="9">
                  <c:v>324.16666666666669</c:v>
                </c:pt>
                <c:pt idx="10">
                  <c:v>324.16666666666669</c:v>
                </c:pt>
                <c:pt idx="11">
                  <c:v>324.16666666666669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3-4A49-BC71-F1DC19DF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143879"/>
        <c:axId val="1215279623"/>
      </c:lineChart>
      <c:catAx>
        <c:axId val="103214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79623"/>
        <c:crosses val="autoZero"/>
        <c:auto val="1"/>
        <c:lblAlgn val="ctr"/>
        <c:lblOffset val="100"/>
        <c:noMultiLvlLbl val="0"/>
      </c:catAx>
      <c:valAx>
        <c:axId val="121527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4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EBITDA Trend</a:t>
            </a:r>
          </a:p>
        </c:rich>
      </c:tx>
      <c:layout>
        <c:manualLayout>
          <c:xMode val="edge"/>
          <c:yMode val="edge"/>
          <c:x val="0.4111596421102422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Databook!$B$1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Databook!$A$2:$A$13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Databook!$B$2:$B$13</c:f>
              <c:numCache>
                <c:formatCode>#,##0</c:formatCode>
                <c:ptCount val="12"/>
                <c:pt idx="0">
                  <c:v>1200</c:v>
                </c:pt>
                <c:pt idx="1">
                  <c:v>1150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1500</c:v>
                </c:pt>
                <c:pt idx="6">
                  <c:v>1550</c:v>
                </c:pt>
                <c:pt idx="7">
                  <c:v>1480</c:v>
                </c:pt>
                <c:pt idx="8">
                  <c:v>1600</c:v>
                </c:pt>
                <c:pt idx="9">
                  <c:v>1700</c:v>
                </c:pt>
                <c:pt idx="10">
                  <c:v>1800</c:v>
                </c:pt>
                <c:pt idx="1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F-4ACF-8801-810F6DEE68A0}"/>
            </c:ext>
          </c:extLst>
        </c:ser>
        <c:ser>
          <c:idx val="1"/>
          <c:order val="1"/>
          <c:tx>
            <c:strRef>
              <c:f>Databook!$F$1</c:f>
              <c:strCache>
                <c:ptCount val="1"/>
                <c:pt idx="0">
                  <c:v>EBITDA (Reported)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Databook!$A$2:$A$13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Databook!$F$2:$F$13</c:f>
              <c:numCache>
                <c:formatCode>#,##0</c:formatCode>
                <c:ptCount val="12"/>
                <c:pt idx="0">
                  <c:v>180</c:v>
                </c:pt>
                <c:pt idx="1">
                  <c:v>160</c:v>
                </c:pt>
                <c:pt idx="2">
                  <c:v>210</c:v>
                </c:pt>
                <c:pt idx="3">
                  <c:v>185</c:v>
                </c:pt>
                <c:pt idx="4">
                  <c:v>260</c:v>
                </c:pt>
                <c:pt idx="5">
                  <c:v>120</c:v>
                </c:pt>
                <c:pt idx="6">
                  <c:v>320</c:v>
                </c:pt>
                <c:pt idx="7">
                  <c:v>285</c:v>
                </c:pt>
                <c:pt idx="8">
                  <c:v>310</c:v>
                </c:pt>
                <c:pt idx="9">
                  <c:v>350</c:v>
                </c:pt>
                <c:pt idx="10">
                  <c:v>390</c:v>
                </c:pt>
                <c:pt idx="11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DF-4ACF-8801-810F6DEE68A0}"/>
            </c:ext>
          </c:extLst>
        </c:ser>
        <c:ser>
          <c:idx val="2"/>
          <c:order val="2"/>
          <c:tx>
            <c:strRef>
              <c:f>Databook!$R$1</c:f>
              <c:strCache>
                <c:ptCount val="1"/>
                <c:pt idx="0">
                  <c:v>Adjusted EBITDA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Databook!$A$2:$A$13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Databook!$R$2:$R$13</c:f>
              <c:numCache>
                <c:formatCode>#,##0</c:formatCode>
                <c:ptCount val="12"/>
                <c:pt idx="0">
                  <c:v>180</c:v>
                </c:pt>
                <c:pt idx="1">
                  <c:v>160</c:v>
                </c:pt>
                <c:pt idx="2">
                  <c:v>210</c:v>
                </c:pt>
                <c:pt idx="3">
                  <c:v>185</c:v>
                </c:pt>
                <c:pt idx="4">
                  <c:v>260</c:v>
                </c:pt>
                <c:pt idx="5">
                  <c:v>270</c:v>
                </c:pt>
                <c:pt idx="6">
                  <c:v>270</c:v>
                </c:pt>
                <c:pt idx="7">
                  <c:v>285</c:v>
                </c:pt>
                <c:pt idx="8">
                  <c:v>310</c:v>
                </c:pt>
                <c:pt idx="9">
                  <c:v>350</c:v>
                </c:pt>
                <c:pt idx="10">
                  <c:v>360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DF-4ACF-8801-810F6DEE6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974919"/>
        <c:axId val="1031977479"/>
      </c:lineChart>
      <c:catAx>
        <c:axId val="1031974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77479"/>
        <c:crosses val="autoZero"/>
        <c:auto val="1"/>
        <c:lblAlgn val="ctr"/>
        <c:lblOffset val="100"/>
        <c:noMultiLvlLbl val="0"/>
      </c:catAx>
      <c:valAx>
        <c:axId val="103197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74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FDD_Calculations!$H$2</c:f>
              <c:strCache>
                <c:ptCount val="1"/>
                <c:pt idx="0">
                  <c:v>Adjusted 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FDD_Calculations!$B$3:$B$14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FDD_Calculations!$H$3:$H$14</c:f>
              <c:numCache>
                <c:formatCode>_(* #,##0_);_(* \(#,##0\);_(* "-"_);_(@_)</c:formatCode>
                <c:ptCount val="12"/>
                <c:pt idx="0">
                  <c:v>180</c:v>
                </c:pt>
                <c:pt idx="1">
                  <c:v>160</c:v>
                </c:pt>
                <c:pt idx="2">
                  <c:v>210</c:v>
                </c:pt>
                <c:pt idx="3">
                  <c:v>185</c:v>
                </c:pt>
                <c:pt idx="4">
                  <c:v>260</c:v>
                </c:pt>
                <c:pt idx="5">
                  <c:v>270</c:v>
                </c:pt>
                <c:pt idx="6">
                  <c:v>270</c:v>
                </c:pt>
                <c:pt idx="7">
                  <c:v>285</c:v>
                </c:pt>
                <c:pt idx="8">
                  <c:v>310</c:v>
                </c:pt>
                <c:pt idx="9">
                  <c:v>350</c:v>
                </c:pt>
                <c:pt idx="10">
                  <c:v>360</c:v>
                </c:pt>
                <c:pt idx="11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FBB-A16F-3121DDE45635}"/>
            </c:ext>
          </c:extLst>
        </c:ser>
        <c:ser>
          <c:idx val="1"/>
          <c:order val="1"/>
          <c:tx>
            <c:strRef>
              <c:f>FDD_Calculations!$J$2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FDD_Calculations!$B$3:$B$14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FDD_Calculations!$J$3:$J$14</c:f>
              <c:numCache>
                <c:formatCode>#,##0</c:formatCode>
                <c:ptCount val="12"/>
                <c:pt idx="0">
                  <c:v>1200</c:v>
                </c:pt>
                <c:pt idx="1">
                  <c:v>1150</c:v>
                </c:pt>
                <c:pt idx="2">
                  <c:v>1300</c:v>
                </c:pt>
                <c:pt idx="3">
                  <c:v>1250</c:v>
                </c:pt>
                <c:pt idx="4">
                  <c:v>1400</c:v>
                </c:pt>
                <c:pt idx="5">
                  <c:v>1500</c:v>
                </c:pt>
                <c:pt idx="6">
                  <c:v>1550</c:v>
                </c:pt>
                <c:pt idx="7">
                  <c:v>1480</c:v>
                </c:pt>
                <c:pt idx="8">
                  <c:v>1600</c:v>
                </c:pt>
                <c:pt idx="9">
                  <c:v>1700</c:v>
                </c:pt>
                <c:pt idx="10">
                  <c:v>1800</c:v>
                </c:pt>
                <c:pt idx="11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A-4FBB-A16F-3121DDE4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084231"/>
        <c:axId val="2106279431"/>
      </c:lineChart>
      <c:catAx>
        <c:axId val="206008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279431"/>
        <c:crosses val="autoZero"/>
        <c:auto val="1"/>
        <c:lblAlgn val="ctr"/>
        <c:lblOffset val="100"/>
        <c:noMultiLvlLbl val="0"/>
      </c:catAx>
      <c:valAx>
        <c:axId val="2106279431"/>
        <c:scaling>
          <c:orientation val="minMax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08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FDD_Calculations!$F$24</c:f>
              <c:strCache>
                <c:ptCount val="1"/>
                <c:pt idx="0">
                  <c:v>NWC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FDD_Calculations!$B$25:$B$36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FDD_Calculations!$F$25:$F$36</c:f>
              <c:numCache>
                <c:formatCode>#,##0</c:formatCode>
                <c:ptCount val="12"/>
                <c:pt idx="0">
                  <c:v>270</c:v>
                </c:pt>
                <c:pt idx="1">
                  <c:v>265</c:v>
                </c:pt>
                <c:pt idx="2">
                  <c:v>280</c:v>
                </c:pt>
                <c:pt idx="3">
                  <c:v>275</c:v>
                </c:pt>
                <c:pt idx="4">
                  <c:v>295</c:v>
                </c:pt>
                <c:pt idx="5">
                  <c:v>350</c:v>
                </c:pt>
                <c:pt idx="6">
                  <c:v>330</c:v>
                </c:pt>
                <c:pt idx="7">
                  <c:v>325</c:v>
                </c:pt>
                <c:pt idx="8">
                  <c:v>340</c:v>
                </c:pt>
                <c:pt idx="9">
                  <c:v>360</c:v>
                </c:pt>
                <c:pt idx="10">
                  <c:v>380</c:v>
                </c:pt>
                <c:pt idx="11">
                  <c:v>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B-4D22-82BB-5EB6373099F5}"/>
            </c:ext>
          </c:extLst>
        </c:ser>
        <c:ser>
          <c:idx val="1"/>
          <c:order val="1"/>
          <c:tx>
            <c:strRef>
              <c:f>FDD_Calculations!$G$24</c:f>
              <c:strCache>
                <c:ptCount val="1"/>
                <c:pt idx="0">
                  <c:v>NWC Peg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FDD_Calculations!$B$25:$B$36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FDD_Calculations!$G$25:$G$36</c:f>
              <c:numCache>
                <c:formatCode>#,##0</c:formatCode>
                <c:ptCount val="12"/>
                <c:pt idx="0">
                  <c:v>324.16666666666669</c:v>
                </c:pt>
                <c:pt idx="1">
                  <c:v>324.16666666666669</c:v>
                </c:pt>
                <c:pt idx="2">
                  <c:v>324.16666666666669</c:v>
                </c:pt>
                <c:pt idx="3">
                  <c:v>324.16666666666669</c:v>
                </c:pt>
                <c:pt idx="4">
                  <c:v>324.16666666666669</c:v>
                </c:pt>
                <c:pt idx="5">
                  <c:v>324.16666666666669</c:v>
                </c:pt>
                <c:pt idx="6">
                  <c:v>324.16666666666669</c:v>
                </c:pt>
                <c:pt idx="7">
                  <c:v>324.16666666666669</c:v>
                </c:pt>
                <c:pt idx="8">
                  <c:v>324.16666666666669</c:v>
                </c:pt>
                <c:pt idx="9">
                  <c:v>324.16666666666669</c:v>
                </c:pt>
                <c:pt idx="10">
                  <c:v>324.16666666666669</c:v>
                </c:pt>
                <c:pt idx="11">
                  <c:v>324.16666666666669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B-4D22-82BB-5EB63730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271239"/>
        <c:axId val="2106900999"/>
      </c:lineChart>
      <c:catAx>
        <c:axId val="210627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00999"/>
        <c:crosses val="autoZero"/>
        <c:auto val="1"/>
        <c:lblAlgn val="ctr"/>
        <c:lblOffset val="100"/>
        <c:noMultiLvlLbl val="0"/>
      </c:catAx>
      <c:valAx>
        <c:axId val="210690099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27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495300</xdr:colOff>
      <xdr:row>32</xdr:row>
      <xdr:rowOff>152400</xdr:rowOff>
    </xdr:from>
    <xdr:to>
      <xdr:col>19</xdr:col>
      <xdr:colOff>571500</xdr:colOff>
      <xdr:row>40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EE0F0D-6CF6-DB00-93BA-02B97687BB63}"/>
            </a:ext>
            <a:ext uri="{147F2762-F138-4A5C-976F-8EAC2B608ADB}">
              <a16:predDERef xmlns:a16="http://schemas.microsoft.com/office/drawing/2014/main" pred="{A4004377-24FC-95E4-5DBF-433BF5291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485775</xdr:colOff>
      <xdr:row>17</xdr:row>
      <xdr:rowOff>57150</xdr:rowOff>
    </xdr:from>
    <xdr:to>
      <xdr:col>19</xdr:col>
      <xdr:colOff>561975</xdr:colOff>
      <xdr:row>31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6E443A-CE94-1326-3CEC-FB87869B8435}"/>
            </a:ext>
            <a:ext uri="{147F2762-F138-4A5C-976F-8EAC2B608ADB}">
              <a16:predDERef xmlns:a16="http://schemas.microsoft.com/office/drawing/2014/main" pred="{8EEE0F0D-6CF6-DB00-93BA-02B97687B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304800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8A96E-8AAC-43B4-B95C-2E3E0687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15</xdr:col>
      <xdr:colOff>304800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9A4E9-B2D4-4E95-A7B0-1B05E72679D3}"/>
            </a:ext>
            <a:ext uri="{147F2762-F138-4A5C-976F-8EAC2B608ADB}">
              <a16:predDERef xmlns:a16="http://schemas.microsoft.com/office/drawing/2014/main" pred="{1628A96E-8AAC-43B4-B95C-2E3E0687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EFD426-10C5-4F0D-BB44-316BAC387A12}" name="Table1" displayName="Table1" ref="A1:U13" totalsRowShown="0" headerRowDxfId="21">
  <autoFilter ref="A1:U13" xr:uid="{23EFD426-10C5-4F0D-BB44-316BAC387A12}"/>
  <tableColumns count="21">
    <tableColumn id="1" xr3:uid="{86F9EB8E-AA5C-4CA5-9A10-388BE368FE83}" name="Month" dataDxfId="20"/>
    <tableColumn id="2" xr3:uid="{5988FC1D-5B27-46DA-BAFA-30A3B3343637}" name="Revenue" dataDxfId="19"/>
    <tableColumn id="3" xr3:uid="{4EC30286-3E72-4C24-9CA7-BEB636DBFEE0}" name="COGS" dataDxfId="18"/>
    <tableColumn id="4" xr3:uid="{63FDA728-55EF-4C17-B893-84D0B71FA473}" name="Gross Profit" dataDxfId="17"/>
    <tableColumn id="5" xr3:uid="{C0BD4DD3-1B74-4E32-81EE-0BB62CB5176D}" name="Operating Expenses" dataDxfId="16"/>
    <tableColumn id="6" xr3:uid="{9DF3ABC5-A321-4E5A-AB95-DE724612354A}" name="EBITDA (Reported)" dataDxfId="15"/>
    <tableColumn id="7" xr3:uid="{7AF662A5-7C2F-41BE-A6FB-F62B23D72BDE}" name="AR" dataDxfId="14"/>
    <tableColumn id="8" xr3:uid="{C3CAF115-B751-4965-9FAC-0FD49D8F846B}" name="AP" dataDxfId="13"/>
    <tableColumn id="9" xr3:uid="{27EB199E-9A93-48F9-BA9E-C76F3487DD3D}" name="Inventory" dataDxfId="12"/>
    <tableColumn id="10" xr3:uid="{0E88EF75-FBF4-40B5-A15F-25ED287A41FA}" name="Debt" dataDxfId="11"/>
    <tableColumn id="11" xr3:uid="{C798B712-85AD-4B60-BB05-7CAE740D7C28}" name="Cash" dataDxfId="10"/>
    <tableColumn id="14" xr3:uid="{45280D8E-C8D3-4CD2-824D-3BACD6C0B835}" name="Month2" dataDxfId="9">
      <calculatedColumnFormula>A2</calculatedColumnFormula>
    </tableColumn>
    <tableColumn id="15" xr3:uid="{5A196C69-9498-45B9-8A15-BA1C5B615A7F}" name="Reported EBITDA" dataDxfId="8">
      <calculatedColumnFormula>F2</calculatedColumnFormula>
    </tableColumn>
    <tableColumn id="16" xr3:uid="{8FC59843-C48F-4494-9EEA-8EB54F14511E}" name="Adj 1 (June one-time)" dataDxfId="7">
      <calculatedColumnFormula>IF(L2="Jun",150,0)</calculatedColumnFormula>
    </tableColumn>
    <tableColumn id="17" xr3:uid="{8A6B2B04-5B24-4235-9822-67F1862F02A6}" name="Adj 2 (July normalization)" dataDxfId="6">
      <calculatedColumnFormula>IF(L2="Jul",-50,0)</calculatedColumnFormula>
    </tableColumn>
    <tableColumn id="18" xr3:uid="{1ECEB02F-2793-407F-B0EA-3E6BD82EAEB3}" name="Adj 3 (Year-end normalization)" dataDxfId="5">
      <calculatedColumnFormula>IF(OR(L2="Nov",L2="Dec"),-30,0)</calculatedColumnFormula>
    </tableColumn>
    <tableColumn id="19" xr3:uid="{4F5546A4-694F-4169-93AD-D47664F423A6}" name="Total Adj" dataDxfId="4">
      <calculatedColumnFormula>N2+O2+P2</calculatedColumnFormula>
    </tableColumn>
    <tableColumn id="20" xr3:uid="{033F8008-D374-4D6A-8438-1EE2857DCFF5}" name="Adjusted EBITDA" dataDxfId="3">
      <calculatedColumnFormula>M2+Q2</calculatedColumnFormula>
    </tableColumn>
    <tableColumn id="21" xr3:uid="{99AE8CFE-7A0C-491A-A66A-3F23726135E5}" name="NWC" dataDxfId="2">
      <calculatedColumnFormula>G2+I2-H2</calculatedColumnFormula>
    </tableColumn>
    <tableColumn id="22" xr3:uid="{29ADAFA5-9C8B-4599-B0DD-881FF8594351}" name="NWC vs Peg" dataDxfId="1">
      <calculatedColumnFormula>S2-$U$16</calculatedColumnFormula>
    </tableColumn>
    <tableColumn id="23" xr3:uid="{304FB87D-A62D-4B1E-9FE4-868966AFD509}" name="Peg Line" dataDxfId="0">
      <calculatedColumnFormula>$U$16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showGridLines="0" tabSelected="1" workbookViewId="0">
      <selection activeCell="P40" sqref="P40"/>
    </sheetView>
  </sheetViews>
  <sheetFormatPr defaultRowHeight="15"/>
  <cols>
    <col min="1" max="1" width="36.5703125" bestFit="1" customWidth="1"/>
    <col min="2" max="2" width="10.85546875" bestFit="1" customWidth="1"/>
    <col min="4" max="4" width="13.5703125" bestFit="1" customWidth="1"/>
    <col min="5" max="5" width="20.7109375" bestFit="1" customWidth="1"/>
    <col min="6" max="6" width="19.85546875" bestFit="1" customWidth="1"/>
    <col min="9" max="9" width="11.7109375" bestFit="1" customWidth="1"/>
    <col min="12" max="12" width="10.28515625" bestFit="1" customWidth="1"/>
    <col min="13" max="13" width="20.5703125" bestFit="1" customWidth="1"/>
    <col min="14" max="14" width="36.5703125" bestFit="1" customWidth="1"/>
    <col min="15" max="15" width="25.85546875" bestFit="1" customWidth="1"/>
    <col min="16" max="16" width="30.42578125" bestFit="1" customWidth="1"/>
    <col min="17" max="17" width="25.85546875" bestFit="1" customWidth="1"/>
    <col min="18" max="18" width="30.42578125" bestFit="1" customWidth="1"/>
    <col min="19" max="19" width="11.140625" bestFit="1" customWidth="1"/>
    <col min="20" max="20" width="18.140625" bestFit="1" customWidth="1"/>
    <col min="21" max="21" width="10.5703125" bestFit="1" customWidth="1"/>
    <col min="22" max="22" width="13.7109375" bestFit="1" customWidth="1"/>
    <col min="23" max="23" width="10.5703125" bestFit="1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1" t="s">
        <v>21</v>
      </c>
      <c r="B2" s="2">
        <v>1200</v>
      </c>
      <c r="C2" s="2">
        <v>720</v>
      </c>
      <c r="D2" s="2">
        <v>480</v>
      </c>
      <c r="E2" s="2">
        <v>300</v>
      </c>
      <c r="F2" s="2">
        <v>180</v>
      </c>
      <c r="G2" s="2">
        <v>250</v>
      </c>
      <c r="H2" s="2">
        <v>180</v>
      </c>
      <c r="I2" s="2">
        <v>200</v>
      </c>
      <c r="J2" s="2">
        <v>900</v>
      </c>
      <c r="K2" s="2">
        <v>120</v>
      </c>
      <c r="L2" s="2" t="str">
        <f t="shared" ref="L2:L13" si="0">A2</f>
        <v>Jan</v>
      </c>
      <c r="M2" s="2">
        <f t="shared" ref="M2:M13" si="1">F2</f>
        <v>180</v>
      </c>
      <c r="N2" s="2">
        <f t="shared" ref="N2:N13" si="2">IF(L2="Jun",150,0)</f>
        <v>0</v>
      </c>
      <c r="O2" s="2">
        <f t="shared" ref="O2:O13" si="3">IF(L2="Jul",-50,0)</f>
        <v>0</v>
      </c>
      <c r="P2" s="2">
        <f t="shared" ref="P2:P13" si="4">IF(OR(L2="Nov",L2="Dec"),-30,0)</f>
        <v>0</v>
      </c>
      <c r="Q2" s="2">
        <f t="shared" ref="Q2:Q13" si="5">N2+O2+P2</f>
        <v>0</v>
      </c>
      <c r="R2" s="2">
        <f t="shared" ref="R2:R13" si="6">M2+Q2</f>
        <v>180</v>
      </c>
      <c r="S2" s="2">
        <f t="shared" ref="S2:S13" si="7">G2+I2-H2</f>
        <v>270</v>
      </c>
      <c r="T2" s="2">
        <f t="shared" ref="T2:T13" si="8">S2-$U$16</f>
        <v>-54.166666666666686</v>
      </c>
      <c r="U2" s="2">
        <f t="shared" ref="U2:U13" si="9">$U$16</f>
        <v>324.16666666666669</v>
      </c>
    </row>
    <row r="3" spans="1:21">
      <c r="A3" s="1" t="s">
        <v>22</v>
      </c>
      <c r="B3" s="2">
        <v>1150</v>
      </c>
      <c r="C3" s="2">
        <v>700</v>
      </c>
      <c r="D3" s="2">
        <v>450</v>
      </c>
      <c r="E3" s="2">
        <v>290</v>
      </c>
      <c r="F3" s="2">
        <v>160</v>
      </c>
      <c r="G3" s="2">
        <v>240</v>
      </c>
      <c r="H3" s="2">
        <v>170</v>
      </c>
      <c r="I3" s="2">
        <v>195</v>
      </c>
      <c r="J3" s="2">
        <v>900</v>
      </c>
      <c r="K3" s="2">
        <v>110</v>
      </c>
      <c r="L3" s="2" t="str">
        <f t="shared" si="0"/>
        <v>Feb</v>
      </c>
      <c r="M3" s="2">
        <f t="shared" si="1"/>
        <v>160</v>
      </c>
      <c r="N3" s="2">
        <f t="shared" si="2"/>
        <v>0</v>
      </c>
      <c r="O3" s="2">
        <f t="shared" si="3"/>
        <v>0</v>
      </c>
      <c r="P3" s="2">
        <f t="shared" si="4"/>
        <v>0</v>
      </c>
      <c r="Q3" s="2">
        <f t="shared" si="5"/>
        <v>0</v>
      </c>
      <c r="R3" s="2">
        <f t="shared" si="6"/>
        <v>160</v>
      </c>
      <c r="S3" s="2">
        <f t="shared" si="7"/>
        <v>265</v>
      </c>
      <c r="T3" s="2">
        <f t="shared" si="8"/>
        <v>-59.166666666666686</v>
      </c>
      <c r="U3" s="2">
        <f t="shared" si="9"/>
        <v>324.16666666666669</v>
      </c>
    </row>
    <row r="4" spans="1:21">
      <c r="A4" s="1" t="s">
        <v>23</v>
      </c>
      <c r="B4" s="2">
        <v>1300</v>
      </c>
      <c r="C4" s="2">
        <v>780</v>
      </c>
      <c r="D4" s="2">
        <v>520</v>
      </c>
      <c r="E4" s="2">
        <v>310</v>
      </c>
      <c r="F4" s="2">
        <v>210</v>
      </c>
      <c r="G4" s="2">
        <v>260</v>
      </c>
      <c r="H4" s="2">
        <v>190</v>
      </c>
      <c r="I4" s="2">
        <v>210</v>
      </c>
      <c r="J4" s="2">
        <v>900</v>
      </c>
      <c r="K4" s="2">
        <v>130</v>
      </c>
      <c r="L4" s="2" t="str">
        <f t="shared" si="0"/>
        <v>Mar</v>
      </c>
      <c r="M4" s="2">
        <f t="shared" si="1"/>
        <v>210</v>
      </c>
      <c r="N4" s="2">
        <f t="shared" si="2"/>
        <v>0</v>
      </c>
      <c r="O4" s="2">
        <f t="shared" si="3"/>
        <v>0</v>
      </c>
      <c r="P4" s="2">
        <f t="shared" si="4"/>
        <v>0</v>
      </c>
      <c r="Q4" s="2">
        <f t="shared" si="5"/>
        <v>0</v>
      </c>
      <c r="R4" s="2">
        <f t="shared" si="6"/>
        <v>210</v>
      </c>
      <c r="S4" s="2">
        <f t="shared" si="7"/>
        <v>280</v>
      </c>
      <c r="T4" s="2">
        <f t="shared" si="8"/>
        <v>-44.166666666666686</v>
      </c>
      <c r="U4" s="2">
        <f t="shared" si="9"/>
        <v>324.16666666666669</v>
      </c>
    </row>
    <row r="5" spans="1:21">
      <c r="A5" s="1" t="s">
        <v>24</v>
      </c>
      <c r="B5" s="2">
        <v>1250</v>
      </c>
      <c r="C5" s="2">
        <v>760</v>
      </c>
      <c r="D5" s="2">
        <v>490</v>
      </c>
      <c r="E5" s="2">
        <v>305</v>
      </c>
      <c r="F5" s="2">
        <v>185</v>
      </c>
      <c r="G5" s="2">
        <v>255</v>
      </c>
      <c r="H5" s="2">
        <v>185</v>
      </c>
      <c r="I5" s="2">
        <v>205</v>
      </c>
      <c r="J5" s="2">
        <v>900</v>
      </c>
      <c r="K5" s="2">
        <v>125</v>
      </c>
      <c r="L5" s="2" t="str">
        <f t="shared" si="0"/>
        <v>Apr</v>
      </c>
      <c r="M5" s="2">
        <f t="shared" si="1"/>
        <v>185</v>
      </c>
      <c r="N5" s="2">
        <f t="shared" si="2"/>
        <v>0</v>
      </c>
      <c r="O5" s="2">
        <f t="shared" si="3"/>
        <v>0</v>
      </c>
      <c r="P5" s="2">
        <f t="shared" si="4"/>
        <v>0</v>
      </c>
      <c r="Q5" s="2">
        <f t="shared" si="5"/>
        <v>0</v>
      </c>
      <c r="R5" s="2">
        <f t="shared" si="6"/>
        <v>185</v>
      </c>
      <c r="S5" s="2">
        <f t="shared" si="7"/>
        <v>275</v>
      </c>
      <c r="T5" s="2">
        <f t="shared" si="8"/>
        <v>-49.166666666666686</v>
      </c>
      <c r="U5" s="2">
        <f t="shared" si="9"/>
        <v>324.16666666666669</v>
      </c>
    </row>
    <row r="6" spans="1:21">
      <c r="A6" s="1" t="s">
        <v>25</v>
      </c>
      <c r="B6" s="2">
        <v>1400</v>
      </c>
      <c r="C6" s="2">
        <v>820</v>
      </c>
      <c r="D6" s="2">
        <v>580</v>
      </c>
      <c r="E6" s="2">
        <v>320</v>
      </c>
      <c r="F6" s="2">
        <v>260</v>
      </c>
      <c r="G6" s="2">
        <v>275</v>
      </c>
      <c r="H6" s="2">
        <v>200</v>
      </c>
      <c r="I6" s="2">
        <v>220</v>
      </c>
      <c r="J6" s="2">
        <v>900</v>
      </c>
      <c r="K6" s="2">
        <v>140</v>
      </c>
      <c r="L6" s="2" t="str">
        <f t="shared" si="0"/>
        <v>May</v>
      </c>
      <c r="M6" s="2">
        <f t="shared" si="1"/>
        <v>260</v>
      </c>
      <c r="N6" s="2">
        <f t="shared" si="2"/>
        <v>0</v>
      </c>
      <c r="O6" s="2">
        <f t="shared" si="3"/>
        <v>0</v>
      </c>
      <c r="P6" s="2">
        <f t="shared" si="4"/>
        <v>0</v>
      </c>
      <c r="Q6" s="2">
        <f t="shared" si="5"/>
        <v>0</v>
      </c>
      <c r="R6" s="2">
        <f t="shared" si="6"/>
        <v>260</v>
      </c>
      <c r="S6" s="2">
        <f t="shared" si="7"/>
        <v>295</v>
      </c>
      <c r="T6" s="2">
        <f t="shared" si="8"/>
        <v>-29.166666666666686</v>
      </c>
      <c r="U6" s="2">
        <f t="shared" si="9"/>
        <v>324.16666666666669</v>
      </c>
    </row>
    <row r="7" spans="1:21">
      <c r="A7" s="1" t="s">
        <v>26</v>
      </c>
      <c r="B7" s="2">
        <v>1500</v>
      </c>
      <c r="C7" s="2">
        <v>880</v>
      </c>
      <c r="D7" s="2">
        <v>620</v>
      </c>
      <c r="E7" s="2">
        <v>500</v>
      </c>
      <c r="F7" s="2">
        <v>120</v>
      </c>
      <c r="G7" s="2">
        <v>300</v>
      </c>
      <c r="H7" s="2">
        <v>210</v>
      </c>
      <c r="I7" s="2">
        <v>260</v>
      </c>
      <c r="J7" s="2">
        <v>900</v>
      </c>
      <c r="K7" s="2">
        <v>150</v>
      </c>
      <c r="L7" s="2" t="str">
        <f t="shared" si="0"/>
        <v>Jun</v>
      </c>
      <c r="M7" s="2">
        <f t="shared" si="1"/>
        <v>120</v>
      </c>
      <c r="N7" s="2">
        <f t="shared" si="2"/>
        <v>150</v>
      </c>
      <c r="O7" s="2">
        <f t="shared" si="3"/>
        <v>0</v>
      </c>
      <c r="P7" s="2">
        <f t="shared" si="4"/>
        <v>0</v>
      </c>
      <c r="Q7" s="2">
        <f t="shared" si="5"/>
        <v>150</v>
      </c>
      <c r="R7" s="2">
        <f t="shared" si="6"/>
        <v>270</v>
      </c>
      <c r="S7" s="2">
        <f t="shared" si="7"/>
        <v>350</v>
      </c>
      <c r="T7" s="2">
        <f t="shared" si="8"/>
        <v>25.833333333333314</v>
      </c>
      <c r="U7" s="2">
        <f t="shared" si="9"/>
        <v>324.16666666666669</v>
      </c>
    </row>
    <row r="8" spans="1:21">
      <c r="A8" s="1" t="s">
        <v>27</v>
      </c>
      <c r="B8" s="2">
        <v>1550</v>
      </c>
      <c r="C8" s="2">
        <v>900</v>
      </c>
      <c r="D8" s="2">
        <v>650</v>
      </c>
      <c r="E8" s="2">
        <v>330</v>
      </c>
      <c r="F8" s="2">
        <v>320</v>
      </c>
      <c r="G8" s="2">
        <v>310</v>
      </c>
      <c r="H8" s="2">
        <v>220</v>
      </c>
      <c r="I8" s="2">
        <v>240</v>
      </c>
      <c r="J8" s="2">
        <v>900</v>
      </c>
      <c r="K8" s="2">
        <v>160</v>
      </c>
      <c r="L8" s="2" t="str">
        <f t="shared" si="0"/>
        <v>Jul</v>
      </c>
      <c r="M8" s="2">
        <f t="shared" si="1"/>
        <v>320</v>
      </c>
      <c r="N8" s="2">
        <f t="shared" si="2"/>
        <v>0</v>
      </c>
      <c r="O8" s="2">
        <f t="shared" si="3"/>
        <v>-50</v>
      </c>
      <c r="P8" s="2">
        <f t="shared" si="4"/>
        <v>0</v>
      </c>
      <c r="Q8" s="2">
        <f t="shared" si="5"/>
        <v>-50</v>
      </c>
      <c r="R8" s="2">
        <f t="shared" si="6"/>
        <v>270</v>
      </c>
      <c r="S8" s="2">
        <f t="shared" si="7"/>
        <v>330</v>
      </c>
      <c r="T8" s="2">
        <f t="shared" si="8"/>
        <v>5.8333333333333144</v>
      </c>
      <c r="U8" s="2">
        <f t="shared" si="9"/>
        <v>324.16666666666669</v>
      </c>
    </row>
    <row r="9" spans="1:21">
      <c r="A9" s="1" t="s">
        <v>28</v>
      </c>
      <c r="B9" s="2">
        <v>1480</v>
      </c>
      <c r="C9" s="2">
        <v>870</v>
      </c>
      <c r="D9" s="2">
        <v>610</v>
      </c>
      <c r="E9" s="2">
        <v>325</v>
      </c>
      <c r="F9" s="2">
        <v>285</v>
      </c>
      <c r="G9" s="2">
        <v>305</v>
      </c>
      <c r="H9" s="2">
        <v>215</v>
      </c>
      <c r="I9" s="2">
        <v>235</v>
      </c>
      <c r="J9" s="2">
        <v>900</v>
      </c>
      <c r="K9" s="2">
        <v>155</v>
      </c>
      <c r="L9" s="2" t="str">
        <f t="shared" si="0"/>
        <v>Aug</v>
      </c>
      <c r="M9" s="2">
        <f t="shared" si="1"/>
        <v>285</v>
      </c>
      <c r="N9" s="2">
        <f t="shared" si="2"/>
        <v>0</v>
      </c>
      <c r="O9" s="2">
        <f t="shared" si="3"/>
        <v>0</v>
      </c>
      <c r="P9" s="2">
        <f t="shared" si="4"/>
        <v>0</v>
      </c>
      <c r="Q9" s="2">
        <f t="shared" si="5"/>
        <v>0</v>
      </c>
      <c r="R9" s="2">
        <f t="shared" si="6"/>
        <v>285</v>
      </c>
      <c r="S9" s="2">
        <f t="shared" si="7"/>
        <v>325</v>
      </c>
      <c r="T9" s="2">
        <f t="shared" si="8"/>
        <v>0.83333333333331439</v>
      </c>
      <c r="U9" s="2">
        <f t="shared" si="9"/>
        <v>324.16666666666669</v>
      </c>
    </row>
    <row r="10" spans="1:21">
      <c r="A10" s="1" t="s">
        <v>29</v>
      </c>
      <c r="B10" s="2">
        <v>1600</v>
      </c>
      <c r="C10" s="2">
        <v>950</v>
      </c>
      <c r="D10" s="2">
        <v>650</v>
      </c>
      <c r="E10" s="2">
        <v>340</v>
      </c>
      <c r="F10" s="2">
        <v>310</v>
      </c>
      <c r="G10" s="2">
        <v>320</v>
      </c>
      <c r="H10" s="2">
        <v>230</v>
      </c>
      <c r="I10" s="2">
        <v>250</v>
      </c>
      <c r="J10" s="2">
        <v>900</v>
      </c>
      <c r="K10" s="2">
        <v>165</v>
      </c>
      <c r="L10" s="2" t="str">
        <f t="shared" si="0"/>
        <v>Sep</v>
      </c>
      <c r="M10" s="2">
        <f t="shared" si="1"/>
        <v>310</v>
      </c>
      <c r="N10" s="2">
        <f t="shared" si="2"/>
        <v>0</v>
      </c>
      <c r="O10" s="2">
        <f t="shared" si="3"/>
        <v>0</v>
      </c>
      <c r="P10" s="2">
        <f t="shared" si="4"/>
        <v>0</v>
      </c>
      <c r="Q10" s="2">
        <f t="shared" si="5"/>
        <v>0</v>
      </c>
      <c r="R10" s="2">
        <f t="shared" si="6"/>
        <v>310</v>
      </c>
      <c r="S10" s="2">
        <f t="shared" si="7"/>
        <v>340</v>
      </c>
      <c r="T10" s="2">
        <f t="shared" si="8"/>
        <v>15.833333333333314</v>
      </c>
      <c r="U10" s="2">
        <f t="shared" si="9"/>
        <v>324.16666666666669</v>
      </c>
    </row>
    <row r="11" spans="1:21">
      <c r="A11" s="1" t="s">
        <v>30</v>
      </c>
      <c r="B11" s="2">
        <v>1700</v>
      </c>
      <c r="C11" s="2">
        <v>1000</v>
      </c>
      <c r="D11" s="2">
        <v>700</v>
      </c>
      <c r="E11" s="2">
        <v>350</v>
      </c>
      <c r="F11" s="2">
        <v>350</v>
      </c>
      <c r="G11" s="2">
        <v>340</v>
      </c>
      <c r="H11" s="2">
        <v>240</v>
      </c>
      <c r="I11" s="2">
        <v>260</v>
      </c>
      <c r="J11" s="2">
        <v>900</v>
      </c>
      <c r="K11" s="2">
        <v>180</v>
      </c>
      <c r="L11" s="2" t="str">
        <f t="shared" si="0"/>
        <v>Oct</v>
      </c>
      <c r="M11" s="2">
        <f t="shared" si="1"/>
        <v>350</v>
      </c>
      <c r="N11" s="2">
        <f t="shared" si="2"/>
        <v>0</v>
      </c>
      <c r="O11" s="2">
        <f t="shared" si="3"/>
        <v>0</v>
      </c>
      <c r="P11" s="2">
        <f t="shared" si="4"/>
        <v>0</v>
      </c>
      <c r="Q11" s="2">
        <f t="shared" si="5"/>
        <v>0</v>
      </c>
      <c r="R11" s="2">
        <f t="shared" si="6"/>
        <v>350</v>
      </c>
      <c r="S11" s="2">
        <f t="shared" si="7"/>
        <v>360</v>
      </c>
      <c r="T11" s="2">
        <f t="shared" si="8"/>
        <v>35.833333333333314</v>
      </c>
      <c r="U11" s="2">
        <f t="shared" si="9"/>
        <v>324.16666666666669</v>
      </c>
    </row>
    <row r="12" spans="1:21">
      <c r="A12" s="1" t="s">
        <v>31</v>
      </c>
      <c r="B12" s="2">
        <v>1800</v>
      </c>
      <c r="C12" s="2">
        <v>1050</v>
      </c>
      <c r="D12" s="2">
        <v>750</v>
      </c>
      <c r="E12" s="2">
        <v>360</v>
      </c>
      <c r="F12" s="2">
        <v>390</v>
      </c>
      <c r="G12" s="2">
        <v>360</v>
      </c>
      <c r="H12" s="2">
        <v>260</v>
      </c>
      <c r="I12" s="2">
        <v>280</v>
      </c>
      <c r="J12" s="2">
        <v>900</v>
      </c>
      <c r="K12" s="2">
        <v>200</v>
      </c>
      <c r="L12" s="2" t="str">
        <f t="shared" si="0"/>
        <v>Nov</v>
      </c>
      <c r="M12" s="2">
        <f t="shared" si="1"/>
        <v>390</v>
      </c>
      <c r="N12" s="2">
        <f t="shared" si="2"/>
        <v>0</v>
      </c>
      <c r="O12" s="2">
        <f t="shared" si="3"/>
        <v>0</v>
      </c>
      <c r="P12" s="2">
        <f t="shared" si="4"/>
        <v>-30</v>
      </c>
      <c r="Q12" s="2">
        <f t="shared" si="5"/>
        <v>-30</v>
      </c>
      <c r="R12" s="2">
        <f t="shared" si="6"/>
        <v>360</v>
      </c>
      <c r="S12" s="2">
        <f t="shared" si="7"/>
        <v>380</v>
      </c>
      <c r="T12" s="2">
        <f t="shared" si="8"/>
        <v>55.833333333333314</v>
      </c>
      <c r="U12" s="2">
        <f t="shared" si="9"/>
        <v>324.16666666666669</v>
      </c>
    </row>
    <row r="13" spans="1:21">
      <c r="A13" s="1" t="s">
        <v>32</v>
      </c>
      <c r="B13" s="2">
        <v>2000</v>
      </c>
      <c r="C13" s="2">
        <v>1200</v>
      </c>
      <c r="D13" s="2">
        <v>800</v>
      </c>
      <c r="E13" s="2">
        <v>370</v>
      </c>
      <c r="F13" s="2">
        <v>430</v>
      </c>
      <c r="G13" s="2">
        <v>400</v>
      </c>
      <c r="H13" s="2">
        <v>300</v>
      </c>
      <c r="I13" s="2">
        <v>320</v>
      </c>
      <c r="J13" s="2">
        <v>900</v>
      </c>
      <c r="K13" s="2">
        <v>250</v>
      </c>
      <c r="L13" s="2" t="str">
        <f t="shared" si="0"/>
        <v>Dec</v>
      </c>
      <c r="M13" s="2">
        <f t="shared" si="1"/>
        <v>430</v>
      </c>
      <c r="N13" s="2">
        <f t="shared" si="2"/>
        <v>0</v>
      </c>
      <c r="O13" s="2">
        <f t="shared" si="3"/>
        <v>0</v>
      </c>
      <c r="P13" s="2">
        <f t="shared" si="4"/>
        <v>-30</v>
      </c>
      <c r="Q13" s="2">
        <f t="shared" si="5"/>
        <v>-30</v>
      </c>
      <c r="R13" s="2">
        <f t="shared" si="6"/>
        <v>400</v>
      </c>
      <c r="S13" s="2">
        <f t="shared" si="7"/>
        <v>420</v>
      </c>
      <c r="T13" s="2">
        <f t="shared" si="8"/>
        <v>95.833333333333314</v>
      </c>
      <c r="U13" s="2">
        <f t="shared" si="9"/>
        <v>324.16666666666669</v>
      </c>
    </row>
    <row r="15" spans="1:21">
      <c r="N15" s="10" t="s">
        <v>33</v>
      </c>
      <c r="O15" s="5"/>
      <c r="U15" t="s">
        <v>34</v>
      </c>
    </row>
    <row r="16" spans="1:21">
      <c r="N16" s="7" t="s">
        <v>12</v>
      </c>
      <c r="O16" s="8">
        <f>SUM(M2:M13)</f>
        <v>3200</v>
      </c>
      <c r="U16" s="2">
        <f>AVERAGE(S2:S13)</f>
        <v>324.16666666666669</v>
      </c>
    </row>
    <row r="17" spans="14:15">
      <c r="N17" s="7" t="s">
        <v>35</v>
      </c>
      <c r="O17" s="8">
        <f>SUM(Q2:Q13)</f>
        <v>40</v>
      </c>
    </row>
    <row r="18" spans="14:15">
      <c r="N18" s="7" t="s">
        <v>17</v>
      </c>
      <c r="O18" s="8">
        <f>O16+O17</f>
        <v>3240</v>
      </c>
    </row>
    <row r="20" spans="14:15">
      <c r="N20" s="9" t="s">
        <v>36</v>
      </c>
      <c r="O20" s="5"/>
    </row>
    <row r="21" spans="14:15">
      <c r="N21" s="7" t="s">
        <v>9</v>
      </c>
      <c r="O21" s="8">
        <f>AVERAGE(J2:J13)</f>
        <v>900</v>
      </c>
    </row>
    <row r="22" spans="14:15">
      <c r="N22" s="7" t="s">
        <v>10</v>
      </c>
      <c r="O22" s="8">
        <f>AVERAGE(K2:K13)</f>
        <v>157.08333333333334</v>
      </c>
    </row>
    <row r="23" spans="14:15">
      <c r="N23" s="7" t="s">
        <v>37</v>
      </c>
      <c r="O23" s="5">
        <f>50</f>
        <v>50</v>
      </c>
    </row>
    <row r="24" spans="14:15">
      <c r="N24" s="7" t="s">
        <v>38</v>
      </c>
      <c r="O24" s="8">
        <f>O22-O23</f>
        <v>107.08333333333334</v>
      </c>
    </row>
    <row r="25" spans="14:15">
      <c r="N25" s="7" t="s">
        <v>36</v>
      </c>
      <c r="O25" s="8">
        <f>O21-O24</f>
        <v>792.91666666666663</v>
      </c>
    </row>
    <row r="28" spans="14:15">
      <c r="N28" s="9" t="s">
        <v>39</v>
      </c>
      <c r="O28" s="5"/>
    </row>
    <row r="29" spans="14:15">
      <c r="N29" s="7" t="s">
        <v>17</v>
      </c>
      <c r="O29" s="6">
        <f>O18</f>
        <v>3240</v>
      </c>
    </row>
    <row r="30" spans="14:15">
      <c r="N30" s="7" t="s">
        <v>36</v>
      </c>
      <c r="O30" s="6">
        <f>O25</f>
        <v>792.91666666666663</v>
      </c>
    </row>
    <row r="31" spans="14:15">
      <c r="N31" s="7" t="s">
        <v>34</v>
      </c>
      <c r="O31" s="6">
        <f>U16</f>
        <v>324.16666666666669</v>
      </c>
    </row>
    <row r="32" spans="14:15">
      <c r="N32" s="7" t="s">
        <v>40</v>
      </c>
      <c r="O32" s="6">
        <f>S13</f>
        <v>420</v>
      </c>
    </row>
    <row r="33" spans="14:15">
      <c r="N33" s="7" t="s">
        <v>41</v>
      </c>
      <c r="O33" s="6">
        <f>O32-O31</f>
        <v>95.833333333333314</v>
      </c>
    </row>
    <row r="35" spans="14:15">
      <c r="N35" s="3" t="s">
        <v>42</v>
      </c>
    </row>
    <row r="36" spans="14:15">
      <c r="N36" s="13" t="s">
        <v>43</v>
      </c>
    </row>
    <row r="37" spans="14:15" ht="76.5">
      <c r="N37" s="11" t="s">
        <v>44</v>
      </c>
    </row>
    <row r="38" spans="14:15">
      <c r="N38" s="13" t="s">
        <v>45</v>
      </c>
    </row>
    <row r="39" spans="14:15" ht="60.75">
      <c r="N39" s="11" t="s">
        <v>46</v>
      </c>
    </row>
    <row r="40" spans="14:15">
      <c r="N40" s="13" t="s">
        <v>47</v>
      </c>
    </row>
    <row r="41" spans="14:15" ht="60.75">
      <c r="N41" s="12" t="s">
        <v>48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16ED-9D52-4197-83D5-63EF820EE895}">
  <dimension ref="B2:J36"/>
  <sheetViews>
    <sheetView topLeftCell="C8" workbookViewId="0">
      <selection activeCell="O20" sqref="O20"/>
    </sheetView>
  </sheetViews>
  <sheetFormatPr defaultRowHeight="15"/>
  <cols>
    <col min="2" max="2" width="18.85546875" bestFit="1" customWidth="1"/>
    <col min="3" max="3" width="15.85546875" bestFit="1" customWidth="1"/>
    <col min="4" max="4" width="19.5703125" bestFit="1" customWidth="1"/>
    <col min="5" max="5" width="22.85546875" bestFit="1" customWidth="1"/>
    <col min="6" max="6" width="27.42578125" bestFit="1" customWidth="1"/>
    <col min="7" max="7" width="19.7109375" bestFit="1" customWidth="1"/>
    <col min="8" max="8" width="15.42578125" bestFit="1" customWidth="1"/>
  </cols>
  <sheetData>
    <row r="2" spans="2:10">
      <c r="B2" s="17" t="s">
        <v>0</v>
      </c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7" t="s">
        <v>17</v>
      </c>
      <c r="J2" s="17" t="s">
        <v>1</v>
      </c>
    </row>
    <row r="3" spans="2:10">
      <c r="B3" t="str">
        <f>Databook!A2</f>
        <v>Jan</v>
      </c>
      <c r="C3" s="18">
        <f>Databook!F2</f>
        <v>180</v>
      </c>
      <c r="D3" s="19">
        <v>0</v>
      </c>
      <c r="E3" s="19">
        <v>0</v>
      </c>
      <c r="F3" s="19">
        <v>0</v>
      </c>
      <c r="G3" s="19">
        <f>SUM(D3:F3)</f>
        <v>0</v>
      </c>
      <c r="H3" s="24">
        <f>C3+G3</f>
        <v>180</v>
      </c>
      <c r="J3" s="2">
        <f>Databook!B2</f>
        <v>1200</v>
      </c>
    </row>
    <row r="4" spans="2:10">
      <c r="B4" t="str">
        <f>Databook!A3</f>
        <v>Feb</v>
      </c>
      <c r="C4" s="18">
        <f>Databook!F3</f>
        <v>160</v>
      </c>
      <c r="D4" s="19">
        <v>0</v>
      </c>
      <c r="E4" s="19">
        <v>0</v>
      </c>
      <c r="F4" s="19">
        <v>0</v>
      </c>
      <c r="G4" s="19">
        <f t="shared" ref="G4:G14" si="0">SUM(D4:F4)</f>
        <v>0</v>
      </c>
      <c r="H4" s="24">
        <f t="shared" ref="H4:H14" si="1">C4+G4</f>
        <v>160</v>
      </c>
      <c r="J4" s="2">
        <f>Databook!B3</f>
        <v>1150</v>
      </c>
    </row>
    <row r="5" spans="2:10">
      <c r="B5" t="str">
        <f>Databook!A4</f>
        <v>Mar</v>
      </c>
      <c r="C5" s="18">
        <f>Databook!F4</f>
        <v>210</v>
      </c>
      <c r="D5" s="19">
        <v>0</v>
      </c>
      <c r="E5" s="19">
        <v>0</v>
      </c>
      <c r="F5" s="19">
        <v>0</v>
      </c>
      <c r="G5" s="19">
        <f t="shared" si="0"/>
        <v>0</v>
      </c>
      <c r="H5" s="24">
        <f t="shared" si="1"/>
        <v>210</v>
      </c>
      <c r="J5" s="2">
        <f>Databook!B4</f>
        <v>1300</v>
      </c>
    </row>
    <row r="6" spans="2:10">
      <c r="B6" t="str">
        <f>Databook!A5</f>
        <v>Apr</v>
      </c>
      <c r="C6" s="18">
        <f>Databook!F5</f>
        <v>185</v>
      </c>
      <c r="D6" s="19">
        <v>0</v>
      </c>
      <c r="E6" s="19">
        <v>0</v>
      </c>
      <c r="F6" s="19">
        <v>0</v>
      </c>
      <c r="G6" s="19">
        <f t="shared" si="0"/>
        <v>0</v>
      </c>
      <c r="H6" s="24">
        <f t="shared" si="1"/>
        <v>185</v>
      </c>
      <c r="J6" s="2">
        <f>Databook!B5</f>
        <v>1250</v>
      </c>
    </row>
    <row r="7" spans="2:10">
      <c r="B7" t="str">
        <f>Databook!A6</f>
        <v>May</v>
      </c>
      <c r="C7" s="18">
        <f>Databook!F6</f>
        <v>260</v>
      </c>
      <c r="D7" s="19">
        <v>0</v>
      </c>
      <c r="E7" s="19">
        <v>0</v>
      </c>
      <c r="F7" s="19">
        <v>0</v>
      </c>
      <c r="G7" s="19">
        <f t="shared" si="0"/>
        <v>0</v>
      </c>
      <c r="H7" s="24">
        <f t="shared" si="1"/>
        <v>260</v>
      </c>
      <c r="J7" s="2">
        <f>Databook!B6</f>
        <v>1400</v>
      </c>
    </row>
    <row r="8" spans="2:10">
      <c r="B8" t="str">
        <f>Databook!A7</f>
        <v>Jun</v>
      </c>
      <c r="C8" s="18">
        <f>Databook!F7</f>
        <v>120</v>
      </c>
      <c r="D8" s="19">
        <v>150</v>
      </c>
      <c r="E8" s="19">
        <v>0</v>
      </c>
      <c r="F8" s="19">
        <v>0</v>
      </c>
      <c r="G8" s="19">
        <f t="shared" si="0"/>
        <v>150</v>
      </c>
      <c r="H8" s="24">
        <f t="shared" si="1"/>
        <v>270</v>
      </c>
      <c r="J8" s="2">
        <f>Databook!B7</f>
        <v>1500</v>
      </c>
    </row>
    <row r="9" spans="2:10">
      <c r="B9" t="str">
        <f>Databook!A8</f>
        <v>Jul</v>
      </c>
      <c r="C9" s="18">
        <f>Databook!F8</f>
        <v>320</v>
      </c>
      <c r="D9" s="19">
        <v>0</v>
      </c>
      <c r="E9" s="19">
        <v>-50</v>
      </c>
      <c r="F9" s="19">
        <v>0</v>
      </c>
      <c r="G9" s="19">
        <f t="shared" si="0"/>
        <v>-50</v>
      </c>
      <c r="H9" s="24">
        <f t="shared" si="1"/>
        <v>270</v>
      </c>
      <c r="J9" s="2">
        <f>Databook!B8</f>
        <v>1550</v>
      </c>
    </row>
    <row r="10" spans="2:10">
      <c r="B10" t="str">
        <f>Databook!A9</f>
        <v>Aug</v>
      </c>
      <c r="C10" s="18">
        <f>Databook!F9</f>
        <v>285</v>
      </c>
      <c r="D10" s="19">
        <v>0</v>
      </c>
      <c r="E10" s="19">
        <v>0</v>
      </c>
      <c r="F10" s="19">
        <v>0</v>
      </c>
      <c r="G10" s="19">
        <f t="shared" si="0"/>
        <v>0</v>
      </c>
      <c r="H10" s="24">
        <f t="shared" si="1"/>
        <v>285</v>
      </c>
      <c r="J10" s="2">
        <f>Databook!B9</f>
        <v>1480</v>
      </c>
    </row>
    <row r="11" spans="2:10">
      <c r="B11" t="str">
        <f>Databook!A10</f>
        <v>Sep</v>
      </c>
      <c r="C11" s="18">
        <f>Databook!F10</f>
        <v>310</v>
      </c>
      <c r="D11" s="19">
        <v>0</v>
      </c>
      <c r="E11" s="19">
        <v>0</v>
      </c>
      <c r="F11" s="19">
        <v>0</v>
      </c>
      <c r="G11" s="19">
        <f t="shared" si="0"/>
        <v>0</v>
      </c>
      <c r="H11" s="24">
        <f t="shared" si="1"/>
        <v>310</v>
      </c>
      <c r="J11" s="2">
        <f>Databook!B10</f>
        <v>1600</v>
      </c>
    </row>
    <row r="12" spans="2:10">
      <c r="B12" t="str">
        <f>Databook!A11</f>
        <v>Oct</v>
      </c>
      <c r="C12" s="18">
        <f>Databook!F11</f>
        <v>350</v>
      </c>
      <c r="D12" s="19">
        <v>0</v>
      </c>
      <c r="E12" s="19">
        <v>0</v>
      </c>
      <c r="F12" s="19">
        <v>0</v>
      </c>
      <c r="G12" s="19">
        <f t="shared" si="0"/>
        <v>0</v>
      </c>
      <c r="H12" s="24">
        <f t="shared" si="1"/>
        <v>350</v>
      </c>
      <c r="J12" s="2">
        <f>Databook!B11</f>
        <v>1700</v>
      </c>
    </row>
    <row r="13" spans="2:10">
      <c r="B13" t="str">
        <f>Databook!A12</f>
        <v>Nov</v>
      </c>
      <c r="C13" s="18">
        <f>Databook!F12</f>
        <v>390</v>
      </c>
      <c r="D13" s="19">
        <v>0</v>
      </c>
      <c r="E13" s="19">
        <v>0</v>
      </c>
      <c r="F13" s="19">
        <v>-30</v>
      </c>
      <c r="G13" s="19">
        <f t="shared" si="0"/>
        <v>-30</v>
      </c>
      <c r="H13" s="24">
        <f t="shared" si="1"/>
        <v>360</v>
      </c>
      <c r="J13" s="2">
        <f>Databook!B12</f>
        <v>1800</v>
      </c>
    </row>
    <row r="14" spans="2:10">
      <c r="B14" t="str">
        <f>Databook!A13</f>
        <v>Dec</v>
      </c>
      <c r="C14" s="18">
        <f>Databook!F13</f>
        <v>430</v>
      </c>
      <c r="D14" s="19">
        <v>0</v>
      </c>
      <c r="E14" s="19">
        <v>0</v>
      </c>
      <c r="F14" s="19">
        <v>-30</v>
      </c>
      <c r="G14" s="19">
        <f t="shared" si="0"/>
        <v>-30</v>
      </c>
      <c r="H14" s="25">
        <f t="shared" si="1"/>
        <v>400</v>
      </c>
      <c r="J14" s="2">
        <f>Databook!B13</f>
        <v>2000</v>
      </c>
    </row>
    <row r="15" spans="2:10">
      <c r="G15" s="16" t="s">
        <v>49</v>
      </c>
      <c r="H15" s="26">
        <f>SUM(H3:H14)</f>
        <v>3240</v>
      </c>
    </row>
    <row r="17" spans="2:8">
      <c r="B17" s="17" t="s">
        <v>36</v>
      </c>
      <c r="C17" s="17" t="s">
        <v>50</v>
      </c>
    </row>
    <row r="18" spans="2:8">
      <c r="B18" t="s">
        <v>9</v>
      </c>
      <c r="C18" s="19">
        <f>Databook!J13</f>
        <v>900</v>
      </c>
    </row>
    <row r="19" spans="2:8">
      <c r="B19" t="s">
        <v>51</v>
      </c>
      <c r="C19" s="19">
        <f>Databook!K13</f>
        <v>250</v>
      </c>
    </row>
    <row r="20" spans="2:8">
      <c r="B20" t="s">
        <v>52</v>
      </c>
      <c r="C20" s="19">
        <v>50</v>
      </c>
    </row>
    <row r="21" spans="2:8">
      <c r="B21" t="s">
        <v>53</v>
      </c>
      <c r="C21" s="19">
        <f>C18-C19+C20</f>
        <v>700</v>
      </c>
    </row>
    <row r="24" spans="2:8">
      <c r="B24" s="17" t="s">
        <v>0</v>
      </c>
      <c r="C24" s="17" t="s">
        <v>6</v>
      </c>
      <c r="D24" s="17" t="s">
        <v>8</v>
      </c>
      <c r="E24" s="17" t="s">
        <v>7</v>
      </c>
      <c r="F24" s="17" t="s">
        <v>18</v>
      </c>
      <c r="G24" s="17" t="s">
        <v>34</v>
      </c>
      <c r="H24" s="17" t="s">
        <v>19</v>
      </c>
    </row>
    <row r="25" spans="2:8">
      <c r="B25" t="str">
        <f>Databook!A2</f>
        <v>Jan</v>
      </c>
      <c r="C25" s="2">
        <f>Databook!G2</f>
        <v>250</v>
      </c>
      <c r="D25" s="2">
        <f>Databook!I2</f>
        <v>200</v>
      </c>
      <c r="E25" s="2">
        <f>Databook!H2</f>
        <v>180</v>
      </c>
      <c r="F25" s="2">
        <f>C25+D25-E25</f>
        <v>270</v>
      </c>
      <c r="G25" s="2">
        <f>AVERAGE($F$25:$F$36)</f>
        <v>324.16666666666669</v>
      </c>
      <c r="H25" s="2">
        <f>F25-G25</f>
        <v>-54.166666666666686</v>
      </c>
    </row>
    <row r="26" spans="2:8">
      <c r="B26" t="str">
        <f>Databook!A3</f>
        <v>Feb</v>
      </c>
      <c r="C26" s="2">
        <f>Databook!G3</f>
        <v>240</v>
      </c>
      <c r="D26" s="2">
        <f>Databook!I3</f>
        <v>195</v>
      </c>
      <c r="E26" s="2">
        <f>Databook!H3</f>
        <v>170</v>
      </c>
      <c r="F26" s="2">
        <f t="shared" ref="F26:F36" si="2">C26+D26-E26</f>
        <v>265</v>
      </c>
      <c r="G26" s="2">
        <f t="shared" ref="G26:G36" si="3">AVERAGE($F$25:$F$36)</f>
        <v>324.16666666666669</v>
      </c>
      <c r="H26" s="2">
        <f t="shared" ref="H26:H36" si="4">F26-G26</f>
        <v>-59.166666666666686</v>
      </c>
    </row>
    <row r="27" spans="2:8">
      <c r="B27" t="str">
        <f>Databook!A4</f>
        <v>Mar</v>
      </c>
      <c r="C27" s="2">
        <f>Databook!G4</f>
        <v>260</v>
      </c>
      <c r="D27" s="2">
        <f>Databook!I4</f>
        <v>210</v>
      </c>
      <c r="E27" s="2">
        <f>Databook!H4</f>
        <v>190</v>
      </c>
      <c r="F27" s="2">
        <f t="shared" si="2"/>
        <v>280</v>
      </c>
      <c r="G27" s="2">
        <f t="shared" si="3"/>
        <v>324.16666666666669</v>
      </c>
      <c r="H27" s="2">
        <f t="shared" si="4"/>
        <v>-44.166666666666686</v>
      </c>
    </row>
    <row r="28" spans="2:8">
      <c r="B28" t="str">
        <f>Databook!A5</f>
        <v>Apr</v>
      </c>
      <c r="C28" s="2">
        <f>Databook!G5</f>
        <v>255</v>
      </c>
      <c r="D28" s="2">
        <f>Databook!I5</f>
        <v>205</v>
      </c>
      <c r="E28" s="2">
        <f>Databook!H5</f>
        <v>185</v>
      </c>
      <c r="F28" s="2">
        <f t="shared" si="2"/>
        <v>275</v>
      </c>
      <c r="G28" s="2">
        <f t="shared" si="3"/>
        <v>324.16666666666669</v>
      </c>
      <c r="H28" s="2">
        <f t="shared" si="4"/>
        <v>-49.166666666666686</v>
      </c>
    </row>
    <row r="29" spans="2:8">
      <c r="B29" t="str">
        <f>Databook!A6</f>
        <v>May</v>
      </c>
      <c r="C29" s="2">
        <f>Databook!G6</f>
        <v>275</v>
      </c>
      <c r="D29" s="2">
        <f>Databook!I6</f>
        <v>220</v>
      </c>
      <c r="E29" s="2">
        <f>Databook!H6</f>
        <v>200</v>
      </c>
      <c r="F29" s="2">
        <f t="shared" si="2"/>
        <v>295</v>
      </c>
      <c r="G29" s="2">
        <f t="shared" si="3"/>
        <v>324.16666666666669</v>
      </c>
      <c r="H29" s="2">
        <f t="shared" si="4"/>
        <v>-29.166666666666686</v>
      </c>
    </row>
    <row r="30" spans="2:8">
      <c r="B30" t="str">
        <f>Databook!A7</f>
        <v>Jun</v>
      </c>
      <c r="C30" s="2">
        <f>Databook!G7</f>
        <v>300</v>
      </c>
      <c r="D30" s="2">
        <f>Databook!I7</f>
        <v>260</v>
      </c>
      <c r="E30" s="2">
        <f>Databook!H7</f>
        <v>210</v>
      </c>
      <c r="F30" s="2">
        <f t="shared" si="2"/>
        <v>350</v>
      </c>
      <c r="G30" s="2">
        <f t="shared" si="3"/>
        <v>324.16666666666669</v>
      </c>
      <c r="H30" s="2">
        <f t="shared" si="4"/>
        <v>25.833333333333314</v>
      </c>
    </row>
    <row r="31" spans="2:8">
      <c r="B31" t="str">
        <f>Databook!A8</f>
        <v>Jul</v>
      </c>
      <c r="C31" s="2">
        <f>Databook!G8</f>
        <v>310</v>
      </c>
      <c r="D31" s="2">
        <f>Databook!I8</f>
        <v>240</v>
      </c>
      <c r="E31" s="2">
        <f>Databook!H8</f>
        <v>220</v>
      </c>
      <c r="F31" s="2">
        <f t="shared" si="2"/>
        <v>330</v>
      </c>
      <c r="G31" s="2">
        <f t="shared" si="3"/>
        <v>324.16666666666669</v>
      </c>
      <c r="H31" s="2">
        <f t="shared" si="4"/>
        <v>5.8333333333333144</v>
      </c>
    </row>
    <row r="32" spans="2:8">
      <c r="B32" t="str">
        <f>Databook!A9</f>
        <v>Aug</v>
      </c>
      <c r="C32" s="2">
        <f>Databook!G9</f>
        <v>305</v>
      </c>
      <c r="D32" s="2">
        <f>Databook!I9</f>
        <v>235</v>
      </c>
      <c r="E32" s="2">
        <f>Databook!H9</f>
        <v>215</v>
      </c>
      <c r="F32" s="2">
        <f t="shared" si="2"/>
        <v>325</v>
      </c>
      <c r="G32" s="2">
        <f t="shared" si="3"/>
        <v>324.16666666666669</v>
      </c>
      <c r="H32" s="2">
        <f t="shared" si="4"/>
        <v>0.83333333333331439</v>
      </c>
    </row>
    <row r="33" spans="2:8">
      <c r="B33" t="str">
        <f>Databook!A10</f>
        <v>Sep</v>
      </c>
      <c r="C33" s="2">
        <f>Databook!G10</f>
        <v>320</v>
      </c>
      <c r="D33" s="2">
        <f>Databook!I10</f>
        <v>250</v>
      </c>
      <c r="E33" s="2">
        <f>Databook!H10</f>
        <v>230</v>
      </c>
      <c r="F33" s="2">
        <f t="shared" si="2"/>
        <v>340</v>
      </c>
      <c r="G33" s="2">
        <f t="shared" si="3"/>
        <v>324.16666666666669</v>
      </c>
      <c r="H33" s="2">
        <f t="shared" si="4"/>
        <v>15.833333333333314</v>
      </c>
    </row>
    <row r="34" spans="2:8">
      <c r="B34" t="str">
        <f>Databook!A11</f>
        <v>Oct</v>
      </c>
      <c r="C34" s="2">
        <f>Databook!G11</f>
        <v>340</v>
      </c>
      <c r="D34" s="2">
        <f>Databook!I11</f>
        <v>260</v>
      </c>
      <c r="E34" s="2">
        <f>Databook!H11</f>
        <v>240</v>
      </c>
      <c r="F34" s="2">
        <f t="shared" si="2"/>
        <v>360</v>
      </c>
      <c r="G34" s="2">
        <f t="shared" si="3"/>
        <v>324.16666666666669</v>
      </c>
      <c r="H34" s="2">
        <f t="shared" si="4"/>
        <v>35.833333333333314</v>
      </c>
    </row>
    <row r="35" spans="2:8">
      <c r="B35" t="str">
        <f>Databook!A12</f>
        <v>Nov</v>
      </c>
      <c r="C35" s="2">
        <f>Databook!G12</f>
        <v>360</v>
      </c>
      <c r="D35" s="2">
        <f>Databook!I12</f>
        <v>280</v>
      </c>
      <c r="E35" s="2">
        <f>Databook!H12</f>
        <v>260</v>
      </c>
      <c r="F35" s="2">
        <f t="shared" si="2"/>
        <v>380</v>
      </c>
      <c r="G35" s="2">
        <f t="shared" si="3"/>
        <v>324.16666666666669</v>
      </c>
      <c r="H35" s="2">
        <f t="shared" si="4"/>
        <v>55.833333333333314</v>
      </c>
    </row>
    <row r="36" spans="2:8">
      <c r="B36" t="str">
        <f>Databook!A13</f>
        <v>Dec</v>
      </c>
      <c r="C36" s="2">
        <f>Databook!G13</f>
        <v>400</v>
      </c>
      <c r="D36" s="2">
        <f>Databook!I13</f>
        <v>320</v>
      </c>
      <c r="E36" s="2">
        <f>Databook!H13</f>
        <v>300</v>
      </c>
      <c r="F36" s="2">
        <f t="shared" si="2"/>
        <v>420</v>
      </c>
      <c r="G36" s="2">
        <f t="shared" si="3"/>
        <v>324.16666666666669</v>
      </c>
      <c r="H36" s="2">
        <f t="shared" si="4"/>
        <v>95.833333333333314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C9D-1D63-4C38-813F-2D99AE8031C9}">
  <dimension ref="A1:P34"/>
  <sheetViews>
    <sheetView showGridLines="0" topLeftCell="A14" workbookViewId="0">
      <selection activeCell="N25" sqref="N25"/>
    </sheetView>
  </sheetViews>
  <sheetFormatPr defaultRowHeight="15"/>
  <cols>
    <col min="1" max="2" width="36.5703125" bestFit="1" customWidth="1"/>
  </cols>
  <sheetData>
    <row r="1" spans="1:16" s="23" customFormat="1" ht="50.25" customHeight="1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2" spans="2:3">
      <c r="B22" s="20" t="s">
        <v>39</v>
      </c>
      <c r="C22" s="5"/>
    </row>
    <row r="23" spans="2:3">
      <c r="B23" s="20" t="s">
        <v>49</v>
      </c>
      <c r="C23" s="21">
        <f>FDD_Calculations!H15</f>
        <v>3240</v>
      </c>
    </row>
    <row r="24" spans="2:3">
      <c r="B24" s="20" t="s">
        <v>53</v>
      </c>
      <c r="C24" s="14">
        <f>FDD_Calculations!C21</f>
        <v>700</v>
      </c>
    </row>
    <row r="25" spans="2:3">
      <c r="B25" s="20" t="s">
        <v>55</v>
      </c>
      <c r="C25" s="14">
        <f>FDD_Calculations!H36</f>
        <v>95.833333333333314</v>
      </c>
    </row>
    <row r="30" spans="2:3" ht="30.75">
      <c r="B30" s="22" t="s">
        <v>56</v>
      </c>
      <c r="C30" s="5"/>
    </row>
    <row r="31" spans="2:3">
      <c r="B31" s="20" t="s">
        <v>57</v>
      </c>
      <c r="C31" s="14">
        <f>C23*6</f>
        <v>19440</v>
      </c>
    </row>
    <row r="32" spans="2:3">
      <c r="B32" s="20" t="s">
        <v>58</v>
      </c>
      <c r="C32" s="14">
        <f>C24</f>
        <v>700</v>
      </c>
    </row>
    <row r="33" spans="2:3">
      <c r="B33" s="20" t="s">
        <v>59</v>
      </c>
      <c r="C33" s="14">
        <f>C25</f>
        <v>95.833333333333314</v>
      </c>
    </row>
    <row r="34" spans="2:3">
      <c r="B34" s="20" t="s">
        <v>60</v>
      </c>
      <c r="C34" s="15">
        <f>C31-C32+C33</f>
        <v>18835.833333333332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 Shardul</cp:lastModifiedBy>
  <cp:revision/>
  <dcterms:created xsi:type="dcterms:W3CDTF">2026-04-24T18:50:02Z</dcterms:created>
  <dcterms:modified xsi:type="dcterms:W3CDTF">2026-04-26T07:14:17Z</dcterms:modified>
  <cp:category/>
  <cp:contentStatus/>
</cp:coreProperties>
</file>